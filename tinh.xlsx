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KSNDTC\VKS Projects\thongkenhaplieu\"/>
    </mc:Choice>
  </mc:AlternateContent>
  <xr:revisionPtr revIDLastSave="0" documentId="8_{62BC2EEC-6433-47BC-8110-AA140F5FA2EA}" xr6:coauthVersionLast="47" xr6:coauthVersionMax="47" xr10:uidLastSave="{00000000-0000-0000-0000-000000000000}"/>
  <bookViews>
    <workbookView xWindow="-109" yWindow="-109" windowWidth="26301" windowHeight="15800" xr2:uid="{8BD0CAC4-3BA0-4DC6-9391-9CBA79D907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5" i="1" l="1"/>
  <c r="I35" i="1"/>
  <c r="E35" i="1"/>
  <c r="M34" i="1"/>
  <c r="I34" i="1"/>
  <c r="E34" i="1"/>
  <c r="M33" i="1"/>
  <c r="I33" i="1"/>
  <c r="E33" i="1"/>
  <c r="M32" i="1"/>
  <c r="I32" i="1"/>
  <c r="E32" i="1"/>
  <c r="M31" i="1"/>
  <c r="I31" i="1"/>
  <c r="E31" i="1"/>
  <c r="M30" i="1"/>
  <c r="I30" i="1"/>
  <c r="E30" i="1"/>
  <c r="M29" i="1"/>
  <c r="I29" i="1"/>
  <c r="E29" i="1"/>
  <c r="M28" i="1"/>
  <c r="I28" i="1"/>
  <c r="E28" i="1"/>
  <c r="M27" i="1"/>
  <c r="I27" i="1"/>
  <c r="E27" i="1"/>
  <c r="M26" i="1"/>
  <c r="I26" i="1"/>
  <c r="E26" i="1"/>
  <c r="M25" i="1"/>
  <c r="I25" i="1"/>
  <c r="E25" i="1"/>
  <c r="M24" i="1"/>
  <c r="I24" i="1"/>
  <c r="E24" i="1"/>
  <c r="M23" i="1"/>
  <c r="I23" i="1"/>
  <c r="E23" i="1"/>
  <c r="M22" i="1"/>
  <c r="I22" i="1"/>
  <c r="E22" i="1"/>
  <c r="M21" i="1"/>
  <c r="I21" i="1"/>
  <c r="E21" i="1"/>
  <c r="M20" i="1"/>
  <c r="I20" i="1"/>
  <c r="E20" i="1"/>
  <c r="M19" i="1"/>
  <c r="I19" i="1"/>
  <c r="E19" i="1"/>
  <c r="M18" i="1"/>
  <c r="I18" i="1"/>
  <c r="E18" i="1"/>
  <c r="M17" i="1"/>
  <c r="I17" i="1"/>
  <c r="E17" i="1"/>
  <c r="M16" i="1"/>
  <c r="I16" i="1"/>
  <c r="E16" i="1"/>
  <c r="M15" i="1"/>
  <c r="I15" i="1"/>
  <c r="E15" i="1"/>
  <c r="M14" i="1"/>
  <c r="I14" i="1"/>
  <c r="E14" i="1"/>
  <c r="M13" i="1"/>
  <c r="I13" i="1"/>
  <c r="E13" i="1"/>
  <c r="M12" i="1"/>
  <c r="I12" i="1"/>
  <c r="E12" i="1"/>
  <c r="M11" i="1"/>
  <c r="I11" i="1"/>
  <c r="E11" i="1"/>
  <c r="M10" i="1"/>
  <c r="I10" i="1"/>
  <c r="E10" i="1"/>
  <c r="M9" i="1"/>
  <c r="I9" i="1"/>
  <c r="E9" i="1"/>
  <c r="M8" i="1"/>
  <c r="I8" i="1"/>
  <c r="E8" i="1"/>
  <c r="M7" i="1"/>
  <c r="I7" i="1"/>
  <c r="E7" i="1"/>
  <c r="M6" i="1"/>
  <c r="I6" i="1"/>
  <c r="E6" i="1"/>
  <c r="M5" i="1"/>
  <c r="I5" i="1"/>
  <c r="E5" i="1"/>
  <c r="M4" i="1"/>
  <c r="I4" i="1"/>
  <c r="E4" i="1"/>
  <c r="M3" i="1"/>
  <c r="I3" i="1"/>
  <c r="E3" i="1"/>
  <c r="M2" i="1"/>
  <c r="I2" i="1"/>
  <c r="E2" i="1"/>
</calcChain>
</file>

<file path=xl/sharedStrings.xml><?xml version="1.0" encoding="utf-8"?>
<sst xmlns="http://schemas.openxmlformats.org/spreadsheetml/2006/main" count="47" uniqueCount="39">
  <si>
    <t>Tỉnh</t>
  </si>
  <si>
    <t>Số cần nhập</t>
  </si>
  <si>
    <t>Số mới nhập</t>
  </si>
  <si>
    <t>Tổng đã nhập</t>
  </si>
  <si>
    <t>tỉ lệ</t>
  </si>
  <si>
    <t>An Giang</t>
  </si>
  <si>
    <t>Bắc Ninh</t>
  </si>
  <si>
    <t>Cà Mau</t>
  </si>
  <si>
    <t>Cao Bằng</t>
  </si>
  <si>
    <t>Cần Thơ</t>
  </si>
  <si>
    <t>Đà Nẵng</t>
  </si>
  <si>
    <t>Đắk Lắk</t>
  </si>
  <si>
    <t>Điện Biên</t>
  </si>
  <si>
    <t>Đồng Nai</t>
  </si>
  <si>
    <t>Đồng Tháp</t>
  </si>
  <si>
    <t>Gia Lai</t>
  </si>
  <si>
    <t>Hà Nội</t>
  </si>
  <si>
    <t>Hà Tĩnh</t>
  </si>
  <si>
    <t>Hải Phòng</t>
  </si>
  <si>
    <t>Hồ Chí Minh</t>
  </si>
  <si>
    <t>Hưng Yên</t>
  </si>
  <si>
    <t>Khánh Hòa</t>
  </si>
  <si>
    <t>Lai Châu</t>
  </si>
  <si>
    <t>Lạng Sơn</t>
  </si>
  <si>
    <t>Lào Cai</t>
  </si>
  <si>
    <t>Lâm Đồng</t>
  </si>
  <si>
    <t>Nghệ An</t>
  </si>
  <si>
    <t>Ninh Bình</t>
  </si>
  <si>
    <t>Phú Thọ</t>
  </si>
  <si>
    <t>Quảng Ngãi</t>
  </si>
  <si>
    <t>Quảng Ninh</t>
  </si>
  <si>
    <t>Quảng Trị</t>
  </si>
  <si>
    <t>Sơn La</t>
  </si>
  <si>
    <t>Tây Ninh</t>
  </si>
  <si>
    <t>Thái Nguyên</t>
  </si>
  <si>
    <t>Thanh Hoá</t>
  </si>
  <si>
    <t>Huế</t>
  </si>
  <si>
    <t>Tuyên Quang</t>
  </si>
  <si>
    <t>Vĩnh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</si>
</sst>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rgb="FF000000"/>
      <name val="Times New Roman"/>
      <family val="1"/>
    </font>
    <font>
      <sz val="14"/>
      <color theme="1"/>
      <name val="Times New Roman"/>
      <family val="1"/>
    </font>
    <font>
      <sz val="11"/>
      <color rgb="FF000000"/>
      <name val="&quot;Times New Roman&quot;"/>
    </font>
    <font>
      <sz val="14"/>
      <color rgb="FF000000"/>
      <name val="Times New Roman"/>
      <family val="1"/>
    </font>
    <font>
      <b/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1" xfId="0" applyFont="1" applyBorder="1"/>
    <xf numFmtId="9" fontId="2" fillId="0" borderId="1" xfId="1" applyFont="1" applyBorder="1" applyAlignment="1">
      <alignment vertical="center" wrapText="1"/>
    </xf>
    <xf numFmtId="9" fontId="3" fillId="0" borderId="1" xfId="1" applyFont="1" applyBorder="1"/>
    <xf numFmtId="0" fontId="3" fillId="0" borderId="1" xfId="0" applyFont="1" applyBorder="1" applyAlignment="1">
      <alignment vertical="center"/>
    </xf>
    <xf numFmtId="0" fontId="4" fillId="0" borderId="2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 vertical="center" wrapText="1"/>
    </xf>
    <xf numFmtId="9" fontId="6" fillId="0" borderId="1" xfId="1" applyFont="1" applyBorder="1" applyAlignment="1">
      <alignment horizontal="center" vertical="center" wrapText="1"/>
    </xf>
    <xf numFmtId="0" fontId="0" fillId="0" borderId="1" xfId="0" applyBorder="1"/>
    <xf numFmtId="0" fontId="4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BBD07-AF56-4FFB-A2BF-B2E8A6A9EBD7}">
  <dimension ref="A1:M36"/>
  <sheetViews>
    <sheetView tabSelected="1" workbookViewId="0">
      <selection sqref="A1:M35"/>
    </sheetView>
  </sheetViews>
  <sheetFormatPr defaultRowHeight="14.3"/>
  <sheetData>
    <row r="1" spans="1:13" ht="51.65" thickBot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2" t="s">
        <v>1</v>
      </c>
      <c r="G1" s="3" t="s">
        <v>2</v>
      </c>
      <c r="H1" s="1" t="s">
        <v>3</v>
      </c>
      <c r="I1" s="4" t="s">
        <v>4</v>
      </c>
      <c r="J1" s="2" t="s">
        <v>1</v>
      </c>
      <c r="K1" s="3" t="s">
        <v>2</v>
      </c>
      <c r="L1" s="1" t="s">
        <v>3</v>
      </c>
      <c r="M1" s="5" t="s">
        <v>4</v>
      </c>
    </row>
    <row r="2" spans="1:13" ht="19.05" thickTop="1">
      <c r="A2" s="6" t="s">
        <v>5</v>
      </c>
      <c r="B2" s="7">
        <v>426</v>
      </c>
      <c r="C2" s="8">
        <v>12</v>
      </c>
      <c r="D2" s="9">
        <v>201</v>
      </c>
      <c r="E2" s="10">
        <f>D2/B2</f>
        <v>0.47183098591549294</v>
      </c>
      <c r="F2" s="7">
        <v>330</v>
      </c>
      <c r="G2" s="11">
        <v>7</v>
      </c>
      <c r="H2" s="12">
        <v>130</v>
      </c>
      <c r="I2" s="13">
        <f>H2/F2</f>
        <v>0.39393939393939392</v>
      </c>
      <c r="J2" s="7">
        <v>62</v>
      </c>
      <c r="K2" s="12">
        <v>2</v>
      </c>
      <c r="L2" s="14">
        <v>6</v>
      </c>
      <c r="M2" s="5">
        <f>L2/J2</f>
        <v>9.6774193548387094E-2</v>
      </c>
    </row>
    <row r="3" spans="1:13" ht="18.350000000000001">
      <c r="A3" s="6" t="s">
        <v>6</v>
      </c>
      <c r="B3" s="15">
        <v>378</v>
      </c>
      <c r="C3" s="8">
        <v>0</v>
      </c>
      <c r="D3" s="9">
        <v>99</v>
      </c>
      <c r="E3" s="10">
        <f t="shared" ref="E3:E35" si="0">D3/B3</f>
        <v>0.26190476190476192</v>
      </c>
      <c r="F3" s="15">
        <v>342</v>
      </c>
      <c r="G3" s="11">
        <v>0</v>
      </c>
      <c r="H3" s="12">
        <v>58</v>
      </c>
      <c r="I3" s="13">
        <f t="shared" ref="I3:I35" si="1">H3/F3</f>
        <v>0.16959064327485379</v>
      </c>
      <c r="J3" s="15">
        <v>61</v>
      </c>
      <c r="K3" s="12">
        <v>0</v>
      </c>
      <c r="L3" s="14">
        <v>0</v>
      </c>
      <c r="M3" s="5">
        <f t="shared" ref="M3:M35" si="2">L3/J3</f>
        <v>0</v>
      </c>
    </row>
    <row r="4" spans="1:13" ht="18.350000000000001">
      <c r="A4" s="6" t="s">
        <v>7</v>
      </c>
      <c r="B4" s="15">
        <v>188</v>
      </c>
      <c r="C4" s="8">
        <v>0</v>
      </c>
      <c r="D4" s="9">
        <v>99</v>
      </c>
      <c r="E4" s="10">
        <f t="shared" si="0"/>
        <v>0.52659574468085102</v>
      </c>
      <c r="F4" s="15">
        <v>200</v>
      </c>
      <c r="G4" s="11">
        <v>0</v>
      </c>
      <c r="H4" s="12">
        <v>78</v>
      </c>
      <c r="I4" s="13">
        <f t="shared" si="1"/>
        <v>0.39</v>
      </c>
      <c r="J4" s="15">
        <v>17</v>
      </c>
      <c r="K4" s="12">
        <v>0</v>
      </c>
      <c r="L4" s="14">
        <v>0</v>
      </c>
      <c r="M4" s="5">
        <f t="shared" si="2"/>
        <v>0</v>
      </c>
    </row>
    <row r="5" spans="1:13" ht="18.350000000000001">
      <c r="A5" s="6" t="s">
        <v>8</v>
      </c>
      <c r="B5" s="15">
        <v>473</v>
      </c>
      <c r="C5" s="8">
        <v>0</v>
      </c>
      <c r="D5" s="9">
        <v>93</v>
      </c>
      <c r="E5" s="10">
        <f t="shared" si="0"/>
        <v>0.19661733615221988</v>
      </c>
      <c r="F5" s="15">
        <v>307</v>
      </c>
      <c r="G5" s="11">
        <v>0</v>
      </c>
      <c r="H5" s="12">
        <v>99</v>
      </c>
      <c r="I5" s="13">
        <f t="shared" si="1"/>
        <v>0.32247557003257327</v>
      </c>
      <c r="J5" s="15">
        <v>26</v>
      </c>
      <c r="K5" s="12">
        <v>0</v>
      </c>
      <c r="L5" s="14">
        <v>24</v>
      </c>
      <c r="M5" s="5">
        <f t="shared" si="2"/>
        <v>0.92307692307692313</v>
      </c>
    </row>
    <row r="6" spans="1:13" ht="18.350000000000001">
      <c r="A6" s="6" t="s">
        <v>9</v>
      </c>
      <c r="B6" s="15">
        <v>80</v>
      </c>
      <c r="C6" s="8">
        <v>12</v>
      </c>
      <c r="D6" s="9">
        <v>227</v>
      </c>
      <c r="E6" s="10">
        <f t="shared" si="0"/>
        <v>2.8374999999999999</v>
      </c>
      <c r="F6" s="15">
        <v>77</v>
      </c>
      <c r="G6" s="11">
        <v>1</v>
      </c>
      <c r="H6" s="12">
        <v>159</v>
      </c>
      <c r="I6" s="13">
        <f t="shared" si="1"/>
        <v>2.0649350649350651</v>
      </c>
      <c r="J6" s="15">
        <v>2</v>
      </c>
      <c r="K6" s="12">
        <v>0</v>
      </c>
      <c r="L6" s="14">
        <v>0</v>
      </c>
      <c r="M6" s="5">
        <f t="shared" si="2"/>
        <v>0</v>
      </c>
    </row>
    <row r="7" spans="1:13" ht="18.350000000000001">
      <c r="A7" s="6" t="s">
        <v>10</v>
      </c>
      <c r="B7" s="15">
        <v>430</v>
      </c>
      <c r="C7" s="8">
        <v>99</v>
      </c>
      <c r="D7" s="9">
        <v>721</v>
      </c>
      <c r="E7" s="10">
        <f t="shared" si="0"/>
        <v>1.6767441860465115</v>
      </c>
      <c r="F7" s="15">
        <v>351</v>
      </c>
      <c r="G7" s="11">
        <v>111</v>
      </c>
      <c r="H7" s="12">
        <v>756</v>
      </c>
      <c r="I7" s="13">
        <f t="shared" si="1"/>
        <v>2.1538461538461537</v>
      </c>
      <c r="J7" s="15">
        <v>59</v>
      </c>
      <c r="K7" s="12">
        <v>15</v>
      </c>
      <c r="L7" s="14">
        <v>119</v>
      </c>
      <c r="M7" s="5">
        <f t="shared" si="2"/>
        <v>2.0169491525423728</v>
      </c>
    </row>
    <row r="8" spans="1:13" ht="18.350000000000001">
      <c r="A8" s="6" t="s">
        <v>11</v>
      </c>
      <c r="B8" s="15">
        <v>182</v>
      </c>
      <c r="C8" s="8">
        <v>0</v>
      </c>
      <c r="D8" s="9">
        <v>149</v>
      </c>
      <c r="E8" s="10">
        <f t="shared" si="0"/>
        <v>0.81868131868131866</v>
      </c>
      <c r="F8" s="15">
        <v>180</v>
      </c>
      <c r="G8" s="11">
        <v>2</v>
      </c>
      <c r="H8" s="12">
        <v>304</v>
      </c>
      <c r="I8" s="13">
        <f t="shared" si="1"/>
        <v>1.6888888888888889</v>
      </c>
      <c r="J8" s="15">
        <v>40</v>
      </c>
      <c r="K8" s="12">
        <v>0</v>
      </c>
      <c r="L8" s="14">
        <v>26</v>
      </c>
      <c r="M8" s="5">
        <f t="shared" si="2"/>
        <v>0.65</v>
      </c>
    </row>
    <row r="9" spans="1:13" ht="18.350000000000001">
      <c r="A9" s="6" t="s">
        <v>12</v>
      </c>
      <c r="B9" s="15">
        <v>66</v>
      </c>
      <c r="C9" s="8">
        <v>5</v>
      </c>
      <c r="D9" s="9">
        <v>81</v>
      </c>
      <c r="E9" s="10">
        <f t="shared" si="0"/>
        <v>1.2272727272727273</v>
      </c>
      <c r="F9" s="15">
        <v>90</v>
      </c>
      <c r="G9" s="11">
        <v>1</v>
      </c>
      <c r="H9" s="12">
        <v>243</v>
      </c>
      <c r="I9" s="13">
        <f t="shared" si="1"/>
        <v>2.7</v>
      </c>
      <c r="J9" s="15">
        <v>3</v>
      </c>
      <c r="K9" s="12">
        <v>9</v>
      </c>
      <c r="L9" s="14">
        <v>38</v>
      </c>
      <c r="M9" s="5">
        <f t="shared" si="2"/>
        <v>12.666666666666666</v>
      </c>
    </row>
    <row r="10" spans="1:13" ht="18.350000000000001">
      <c r="A10" s="6" t="s">
        <v>13</v>
      </c>
      <c r="B10" s="15">
        <v>457</v>
      </c>
      <c r="C10" s="8">
        <v>39</v>
      </c>
      <c r="D10" s="9">
        <v>457</v>
      </c>
      <c r="E10" s="10">
        <f t="shared" si="0"/>
        <v>1</v>
      </c>
      <c r="F10" s="15">
        <v>410</v>
      </c>
      <c r="G10" s="11">
        <v>62</v>
      </c>
      <c r="H10" s="12">
        <v>553</v>
      </c>
      <c r="I10" s="13">
        <f t="shared" si="1"/>
        <v>1.3487804878048781</v>
      </c>
      <c r="J10" s="15">
        <v>76</v>
      </c>
      <c r="K10" s="12">
        <v>1</v>
      </c>
      <c r="L10" s="14">
        <v>24</v>
      </c>
      <c r="M10" s="5">
        <f t="shared" si="2"/>
        <v>0.31578947368421051</v>
      </c>
    </row>
    <row r="11" spans="1:13" ht="18.350000000000001">
      <c r="A11" s="6" t="s">
        <v>14</v>
      </c>
      <c r="B11" s="15">
        <v>222</v>
      </c>
      <c r="C11" s="8">
        <v>0</v>
      </c>
      <c r="D11" s="9">
        <v>84</v>
      </c>
      <c r="E11" s="10">
        <f t="shared" si="0"/>
        <v>0.3783783783783784</v>
      </c>
      <c r="F11" s="15">
        <v>263</v>
      </c>
      <c r="G11" s="11">
        <v>0</v>
      </c>
      <c r="H11" s="12">
        <v>124</v>
      </c>
      <c r="I11" s="13">
        <f t="shared" si="1"/>
        <v>0.47148288973384028</v>
      </c>
      <c r="J11" s="15">
        <v>4</v>
      </c>
      <c r="K11" s="12">
        <v>0</v>
      </c>
      <c r="L11" s="14">
        <v>8</v>
      </c>
      <c r="M11" s="5">
        <f t="shared" si="2"/>
        <v>2</v>
      </c>
    </row>
    <row r="12" spans="1:13" ht="18.350000000000001">
      <c r="A12" s="6" t="s">
        <v>15</v>
      </c>
      <c r="B12" s="15">
        <v>287</v>
      </c>
      <c r="C12" s="8">
        <v>0</v>
      </c>
      <c r="D12" s="9">
        <v>193</v>
      </c>
      <c r="E12" s="10">
        <f t="shared" si="0"/>
        <v>0.67247386759581884</v>
      </c>
      <c r="F12" s="15">
        <v>340</v>
      </c>
      <c r="G12" s="11">
        <v>5</v>
      </c>
      <c r="H12" s="12">
        <v>446</v>
      </c>
      <c r="I12" s="13">
        <f t="shared" si="1"/>
        <v>1.3117647058823529</v>
      </c>
      <c r="J12" s="15">
        <v>41</v>
      </c>
      <c r="K12" s="12">
        <v>1</v>
      </c>
      <c r="L12" s="14">
        <v>33</v>
      </c>
      <c r="M12" s="5">
        <f t="shared" si="2"/>
        <v>0.80487804878048785</v>
      </c>
    </row>
    <row r="13" spans="1:13" ht="18.350000000000001">
      <c r="A13" s="6" t="s">
        <v>16</v>
      </c>
      <c r="B13" s="15">
        <v>2967</v>
      </c>
      <c r="C13" s="8">
        <v>103</v>
      </c>
      <c r="D13" s="9">
        <v>1099</v>
      </c>
      <c r="E13" s="10">
        <f t="shared" si="0"/>
        <v>0.37040781934614087</v>
      </c>
      <c r="F13" s="15">
        <v>1226</v>
      </c>
      <c r="G13" s="11">
        <v>62</v>
      </c>
      <c r="H13" s="12">
        <v>1192</v>
      </c>
      <c r="I13" s="13">
        <f t="shared" si="1"/>
        <v>0.97226753670473087</v>
      </c>
      <c r="J13" s="15">
        <v>237</v>
      </c>
      <c r="K13" s="12">
        <v>11</v>
      </c>
      <c r="L13" s="14">
        <v>53</v>
      </c>
      <c r="M13" s="5">
        <f t="shared" si="2"/>
        <v>0.22362869198312235</v>
      </c>
    </row>
    <row r="14" spans="1:13" ht="18.350000000000001">
      <c r="A14" s="6" t="s">
        <v>17</v>
      </c>
      <c r="B14" s="15">
        <v>121</v>
      </c>
      <c r="C14" s="8">
        <v>1</v>
      </c>
      <c r="D14" s="9">
        <v>7</v>
      </c>
      <c r="E14" s="10">
        <f t="shared" si="0"/>
        <v>5.7851239669421489E-2</v>
      </c>
      <c r="F14" s="15">
        <v>123</v>
      </c>
      <c r="G14" s="11">
        <v>1</v>
      </c>
      <c r="H14" s="12">
        <v>106</v>
      </c>
      <c r="I14" s="13">
        <f t="shared" si="1"/>
        <v>0.86178861788617889</v>
      </c>
      <c r="J14" s="15">
        <v>12</v>
      </c>
      <c r="K14" s="12">
        <v>0</v>
      </c>
      <c r="L14" s="14">
        <v>11</v>
      </c>
      <c r="M14" s="5">
        <f t="shared" si="2"/>
        <v>0.91666666666666663</v>
      </c>
    </row>
    <row r="15" spans="1:13" ht="18.350000000000001">
      <c r="A15" s="6" t="s">
        <v>18</v>
      </c>
      <c r="B15" s="15">
        <v>504</v>
      </c>
      <c r="C15" s="8">
        <v>1</v>
      </c>
      <c r="D15" s="9">
        <v>170</v>
      </c>
      <c r="E15" s="10">
        <f t="shared" si="0"/>
        <v>0.33730158730158732</v>
      </c>
      <c r="F15" s="15">
        <v>397</v>
      </c>
      <c r="G15" s="11">
        <v>0</v>
      </c>
      <c r="H15" s="12">
        <v>511</v>
      </c>
      <c r="I15" s="13">
        <f t="shared" si="1"/>
        <v>1.2871536523929472</v>
      </c>
      <c r="J15" s="15">
        <v>59</v>
      </c>
      <c r="K15" s="12">
        <v>2</v>
      </c>
      <c r="L15" s="14">
        <v>69</v>
      </c>
      <c r="M15" s="5">
        <f t="shared" si="2"/>
        <v>1.1694915254237288</v>
      </c>
    </row>
    <row r="16" spans="1:13" ht="18.350000000000001">
      <c r="A16" s="6" t="s">
        <v>19</v>
      </c>
      <c r="B16" s="15">
        <v>53</v>
      </c>
      <c r="C16" s="8">
        <v>38</v>
      </c>
      <c r="D16" s="9">
        <v>410</v>
      </c>
      <c r="E16" s="10">
        <f t="shared" si="0"/>
        <v>7.7358490566037732</v>
      </c>
      <c r="F16" s="15">
        <v>105</v>
      </c>
      <c r="G16" s="11">
        <v>19</v>
      </c>
      <c r="H16" s="12">
        <v>371</v>
      </c>
      <c r="I16" s="13">
        <f t="shared" si="1"/>
        <v>3.5333333333333332</v>
      </c>
      <c r="J16" s="15">
        <v>22</v>
      </c>
      <c r="K16" s="12">
        <v>0</v>
      </c>
      <c r="L16" s="14">
        <v>7</v>
      </c>
      <c r="M16" s="5">
        <f t="shared" si="2"/>
        <v>0.31818181818181818</v>
      </c>
    </row>
    <row r="17" spans="1:13" ht="18.350000000000001">
      <c r="A17" s="6" t="s">
        <v>20</v>
      </c>
      <c r="B17" s="15">
        <v>154</v>
      </c>
      <c r="C17" s="8">
        <v>0</v>
      </c>
      <c r="D17" s="9">
        <v>135</v>
      </c>
      <c r="E17" s="10">
        <f t="shared" si="0"/>
        <v>0.87662337662337664</v>
      </c>
      <c r="F17" s="15">
        <v>190</v>
      </c>
      <c r="G17" s="11">
        <v>0</v>
      </c>
      <c r="H17" s="12">
        <v>134</v>
      </c>
      <c r="I17" s="13">
        <f t="shared" si="1"/>
        <v>0.70526315789473681</v>
      </c>
      <c r="J17" s="15">
        <v>23</v>
      </c>
      <c r="K17" s="12">
        <v>0</v>
      </c>
      <c r="L17" s="14">
        <v>28</v>
      </c>
      <c r="M17" s="5">
        <f t="shared" si="2"/>
        <v>1.2173913043478262</v>
      </c>
    </row>
    <row r="18" spans="1:13" ht="18.350000000000001">
      <c r="A18" s="6" t="s">
        <v>21</v>
      </c>
      <c r="B18" s="15">
        <v>355</v>
      </c>
      <c r="C18" s="8">
        <v>0</v>
      </c>
      <c r="D18" s="9">
        <v>265</v>
      </c>
      <c r="E18" s="10">
        <f t="shared" si="0"/>
        <v>0.74647887323943662</v>
      </c>
      <c r="F18" s="15">
        <v>176</v>
      </c>
      <c r="G18" s="11">
        <v>0</v>
      </c>
      <c r="H18" s="12">
        <v>144</v>
      </c>
      <c r="I18" s="13">
        <f t="shared" si="1"/>
        <v>0.81818181818181823</v>
      </c>
      <c r="J18" s="15">
        <v>30</v>
      </c>
      <c r="K18" s="12">
        <v>0</v>
      </c>
      <c r="L18" s="14">
        <v>13</v>
      </c>
      <c r="M18" s="5">
        <f t="shared" si="2"/>
        <v>0.43333333333333335</v>
      </c>
    </row>
    <row r="19" spans="1:13" ht="18.350000000000001">
      <c r="A19" s="6" t="s">
        <v>22</v>
      </c>
      <c r="B19" s="15">
        <v>47</v>
      </c>
      <c r="C19" s="8">
        <v>11</v>
      </c>
      <c r="D19" s="9">
        <v>381</v>
      </c>
      <c r="E19" s="10">
        <f t="shared" si="0"/>
        <v>8.1063829787234045</v>
      </c>
      <c r="F19" s="15">
        <v>35</v>
      </c>
      <c r="G19" s="11">
        <v>15</v>
      </c>
      <c r="H19" s="12">
        <v>316</v>
      </c>
      <c r="I19" s="13">
        <f t="shared" si="1"/>
        <v>9.0285714285714285</v>
      </c>
      <c r="J19" s="15">
        <v>2</v>
      </c>
      <c r="K19" s="12">
        <v>9</v>
      </c>
      <c r="L19" s="14">
        <v>22</v>
      </c>
      <c r="M19" s="5">
        <f t="shared" si="2"/>
        <v>11</v>
      </c>
    </row>
    <row r="20" spans="1:13" ht="18.350000000000001">
      <c r="A20" s="6" t="s">
        <v>23</v>
      </c>
      <c r="B20" s="15">
        <v>965</v>
      </c>
      <c r="C20" s="8">
        <v>0</v>
      </c>
      <c r="D20" s="9">
        <v>66</v>
      </c>
      <c r="E20" s="10">
        <f t="shared" si="0"/>
        <v>6.8393782383419685E-2</v>
      </c>
      <c r="F20" s="15">
        <v>241</v>
      </c>
      <c r="G20" s="11">
        <v>1</v>
      </c>
      <c r="H20" s="12">
        <v>187</v>
      </c>
      <c r="I20" s="13">
        <f t="shared" si="1"/>
        <v>0.77593360995850624</v>
      </c>
      <c r="J20" s="15">
        <v>32</v>
      </c>
      <c r="K20" s="12">
        <v>1</v>
      </c>
      <c r="L20" s="14">
        <v>2</v>
      </c>
      <c r="M20" s="5">
        <f t="shared" si="2"/>
        <v>6.25E-2</v>
      </c>
    </row>
    <row r="21" spans="1:13" ht="18.350000000000001">
      <c r="A21" s="6" t="s">
        <v>24</v>
      </c>
      <c r="B21" s="15">
        <v>98</v>
      </c>
      <c r="C21" s="8">
        <v>0</v>
      </c>
      <c r="D21" s="9">
        <v>164</v>
      </c>
      <c r="E21" s="10">
        <f t="shared" si="0"/>
        <v>1.6734693877551021</v>
      </c>
      <c r="F21" s="15">
        <v>160</v>
      </c>
      <c r="G21" s="11">
        <v>0</v>
      </c>
      <c r="H21" s="12">
        <v>149</v>
      </c>
      <c r="I21" s="13">
        <f t="shared" si="1"/>
        <v>0.93125000000000002</v>
      </c>
      <c r="J21" s="15">
        <v>3</v>
      </c>
      <c r="K21" s="12">
        <v>1</v>
      </c>
      <c r="L21" s="14">
        <v>15</v>
      </c>
      <c r="M21" s="5">
        <f t="shared" si="2"/>
        <v>5</v>
      </c>
    </row>
    <row r="22" spans="1:13" ht="18.350000000000001">
      <c r="A22" s="6" t="s">
        <v>25</v>
      </c>
      <c r="B22" s="15">
        <v>147</v>
      </c>
      <c r="C22" s="8">
        <v>0</v>
      </c>
      <c r="D22" s="9">
        <v>176</v>
      </c>
      <c r="E22" s="10">
        <f t="shared" si="0"/>
        <v>1.1972789115646258</v>
      </c>
      <c r="F22" s="15">
        <v>73</v>
      </c>
      <c r="G22" s="11">
        <v>1</v>
      </c>
      <c r="H22" s="12">
        <v>134</v>
      </c>
      <c r="I22" s="13">
        <f t="shared" si="1"/>
        <v>1.8356164383561644</v>
      </c>
      <c r="J22" s="15">
        <v>10</v>
      </c>
      <c r="K22" s="12">
        <v>0</v>
      </c>
      <c r="L22" s="14">
        <v>28</v>
      </c>
      <c r="M22" s="5">
        <f t="shared" si="2"/>
        <v>2.8</v>
      </c>
    </row>
    <row r="23" spans="1:13" ht="18.350000000000001">
      <c r="A23" s="6" t="s">
        <v>26</v>
      </c>
      <c r="B23" s="15">
        <v>291</v>
      </c>
      <c r="C23" s="8">
        <v>3</v>
      </c>
      <c r="D23" s="9">
        <v>104</v>
      </c>
      <c r="E23" s="10">
        <f t="shared" si="0"/>
        <v>0.35738831615120276</v>
      </c>
      <c r="F23" s="15">
        <v>211</v>
      </c>
      <c r="G23" s="11">
        <v>0</v>
      </c>
      <c r="H23" s="12">
        <v>126</v>
      </c>
      <c r="I23" s="13">
        <f t="shared" si="1"/>
        <v>0.59715639810426535</v>
      </c>
      <c r="J23" s="15">
        <v>32</v>
      </c>
      <c r="K23" s="12">
        <v>4</v>
      </c>
      <c r="L23" s="14">
        <v>30</v>
      </c>
      <c r="M23" s="5">
        <f t="shared" si="2"/>
        <v>0.9375</v>
      </c>
    </row>
    <row r="24" spans="1:13" ht="18.350000000000001">
      <c r="A24" s="6" t="s">
        <v>27</v>
      </c>
      <c r="B24" s="15">
        <v>369</v>
      </c>
      <c r="C24" s="8">
        <v>1</v>
      </c>
      <c r="D24" s="9">
        <v>116</v>
      </c>
      <c r="E24" s="10">
        <f t="shared" si="0"/>
        <v>0.3143631436314363</v>
      </c>
      <c r="F24" s="15">
        <v>175</v>
      </c>
      <c r="G24" s="11">
        <v>0</v>
      </c>
      <c r="H24" s="12">
        <v>105</v>
      </c>
      <c r="I24" s="13">
        <f t="shared" si="1"/>
        <v>0.6</v>
      </c>
      <c r="J24" s="15">
        <v>22</v>
      </c>
      <c r="K24" s="12">
        <v>0</v>
      </c>
      <c r="L24" s="14">
        <v>18</v>
      </c>
      <c r="M24" s="5">
        <f t="shared" si="2"/>
        <v>0.81818181818181823</v>
      </c>
    </row>
    <row r="25" spans="1:13" ht="18.350000000000001">
      <c r="A25" s="6" t="s">
        <v>28</v>
      </c>
      <c r="B25" s="15">
        <v>261</v>
      </c>
      <c r="C25" s="8">
        <v>0</v>
      </c>
      <c r="D25" s="9">
        <v>88</v>
      </c>
      <c r="E25" s="10">
        <f t="shared" si="0"/>
        <v>0.33716475095785442</v>
      </c>
      <c r="F25" s="15">
        <v>306</v>
      </c>
      <c r="G25" s="11">
        <v>0</v>
      </c>
      <c r="H25" s="12">
        <v>217</v>
      </c>
      <c r="I25" s="13">
        <f t="shared" si="1"/>
        <v>0.70915032679738566</v>
      </c>
      <c r="J25" s="15">
        <v>18</v>
      </c>
      <c r="K25" s="12">
        <v>3</v>
      </c>
      <c r="L25" s="14">
        <v>38</v>
      </c>
      <c r="M25" s="5">
        <f t="shared" si="2"/>
        <v>2.1111111111111112</v>
      </c>
    </row>
    <row r="26" spans="1:13" ht="18.350000000000001">
      <c r="A26" s="6" t="s">
        <v>29</v>
      </c>
      <c r="B26" s="15">
        <v>168</v>
      </c>
      <c r="C26" s="8">
        <v>4</v>
      </c>
      <c r="D26" s="9">
        <v>164</v>
      </c>
      <c r="E26" s="10">
        <f t="shared" si="0"/>
        <v>0.97619047619047616</v>
      </c>
      <c r="F26" s="15">
        <v>172</v>
      </c>
      <c r="G26" s="11">
        <v>19</v>
      </c>
      <c r="H26" s="12">
        <v>245</v>
      </c>
      <c r="I26" s="13">
        <f t="shared" si="1"/>
        <v>1.4244186046511629</v>
      </c>
      <c r="J26" s="15">
        <v>31</v>
      </c>
      <c r="K26" s="12">
        <v>0</v>
      </c>
      <c r="L26" s="14">
        <v>16</v>
      </c>
      <c r="M26" s="5">
        <f t="shared" si="2"/>
        <v>0.5161290322580645</v>
      </c>
    </row>
    <row r="27" spans="1:13" ht="18.350000000000001">
      <c r="A27" s="6" t="s">
        <v>30</v>
      </c>
      <c r="B27" s="15">
        <v>1951</v>
      </c>
      <c r="C27" s="8">
        <v>0</v>
      </c>
      <c r="D27" s="9">
        <v>1979</v>
      </c>
      <c r="E27" s="10">
        <f t="shared" si="0"/>
        <v>1.0143516145566376</v>
      </c>
      <c r="F27" s="15">
        <v>1908</v>
      </c>
      <c r="G27" s="11">
        <v>0</v>
      </c>
      <c r="H27" s="12">
        <v>1914</v>
      </c>
      <c r="I27" s="13">
        <f t="shared" si="1"/>
        <v>1.0031446540880504</v>
      </c>
      <c r="J27" s="15">
        <v>463</v>
      </c>
      <c r="K27" s="12">
        <v>4</v>
      </c>
      <c r="L27" s="14">
        <v>502</v>
      </c>
      <c r="M27" s="5">
        <f t="shared" si="2"/>
        <v>1.0842332613390928</v>
      </c>
    </row>
    <row r="28" spans="1:13" ht="18.350000000000001">
      <c r="A28" s="6" t="s">
        <v>31</v>
      </c>
      <c r="B28" s="15">
        <v>125</v>
      </c>
      <c r="C28" s="8">
        <v>1</v>
      </c>
      <c r="D28" s="9">
        <v>141</v>
      </c>
      <c r="E28" s="10">
        <f t="shared" si="0"/>
        <v>1.1279999999999999</v>
      </c>
      <c r="F28" s="15">
        <v>210</v>
      </c>
      <c r="G28" s="11">
        <v>1</v>
      </c>
      <c r="H28" s="12">
        <v>233</v>
      </c>
      <c r="I28" s="13">
        <f t="shared" si="1"/>
        <v>1.1095238095238096</v>
      </c>
      <c r="J28" s="15">
        <v>17</v>
      </c>
      <c r="K28" s="12">
        <v>1</v>
      </c>
      <c r="L28" s="14">
        <v>19</v>
      </c>
      <c r="M28" s="5">
        <f t="shared" si="2"/>
        <v>1.1176470588235294</v>
      </c>
    </row>
    <row r="29" spans="1:13" ht="18.350000000000001">
      <c r="A29" s="6" t="s">
        <v>32</v>
      </c>
      <c r="B29" s="15">
        <v>80</v>
      </c>
      <c r="C29" s="8">
        <v>0</v>
      </c>
      <c r="D29" s="9">
        <v>69</v>
      </c>
      <c r="E29" s="10">
        <f t="shared" si="0"/>
        <v>0.86250000000000004</v>
      </c>
      <c r="F29" s="15">
        <v>126</v>
      </c>
      <c r="G29" s="11">
        <v>1</v>
      </c>
      <c r="H29" s="12">
        <v>119</v>
      </c>
      <c r="I29" s="13">
        <f t="shared" si="1"/>
        <v>0.94444444444444442</v>
      </c>
      <c r="J29" s="15">
        <v>2</v>
      </c>
      <c r="K29" s="12">
        <v>0</v>
      </c>
      <c r="L29" s="14">
        <v>9</v>
      </c>
      <c r="M29" s="5">
        <f t="shared" si="2"/>
        <v>4.5</v>
      </c>
    </row>
    <row r="30" spans="1:13" ht="18.350000000000001">
      <c r="A30" s="6" t="s">
        <v>33</v>
      </c>
      <c r="B30" s="15">
        <v>179</v>
      </c>
      <c r="C30" s="8">
        <v>22</v>
      </c>
      <c r="D30" s="9">
        <v>427</v>
      </c>
      <c r="E30" s="10">
        <f t="shared" si="0"/>
        <v>2.3854748603351954</v>
      </c>
      <c r="F30" s="15">
        <v>233</v>
      </c>
      <c r="G30" s="11">
        <v>9</v>
      </c>
      <c r="H30" s="12">
        <v>325</v>
      </c>
      <c r="I30" s="13">
        <f t="shared" si="1"/>
        <v>1.3948497854077253</v>
      </c>
      <c r="J30" s="15">
        <v>34</v>
      </c>
      <c r="K30" s="12">
        <v>1</v>
      </c>
      <c r="L30" s="14">
        <v>11</v>
      </c>
      <c r="M30" s="5">
        <f t="shared" si="2"/>
        <v>0.3235294117647059</v>
      </c>
    </row>
    <row r="31" spans="1:13" ht="18.350000000000001">
      <c r="A31" s="6" t="s">
        <v>34</v>
      </c>
      <c r="B31" s="15">
        <v>235</v>
      </c>
      <c r="C31" s="8">
        <v>2</v>
      </c>
      <c r="D31" s="9">
        <v>53</v>
      </c>
      <c r="E31" s="10">
        <f t="shared" si="0"/>
        <v>0.22553191489361701</v>
      </c>
      <c r="F31" s="15">
        <v>173</v>
      </c>
      <c r="G31" s="11">
        <v>9</v>
      </c>
      <c r="H31" s="12">
        <v>140</v>
      </c>
      <c r="I31" s="13">
        <f t="shared" si="1"/>
        <v>0.80924855491329484</v>
      </c>
      <c r="J31" s="15">
        <v>5</v>
      </c>
      <c r="K31" s="12">
        <v>0</v>
      </c>
      <c r="L31" s="14">
        <v>20</v>
      </c>
      <c r="M31" s="5">
        <f t="shared" si="2"/>
        <v>4</v>
      </c>
    </row>
    <row r="32" spans="1:13" ht="18.350000000000001">
      <c r="A32" s="6" t="s">
        <v>35</v>
      </c>
      <c r="B32" s="15">
        <v>121</v>
      </c>
      <c r="C32" s="8">
        <v>31</v>
      </c>
      <c r="D32" s="9">
        <v>697</v>
      </c>
      <c r="E32" s="10">
        <f t="shared" si="0"/>
        <v>5.7603305785123968</v>
      </c>
      <c r="F32" s="15">
        <v>293</v>
      </c>
      <c r="G32" s="11">
        <v>47</v>
      </c>
      <c r="H32" s="12">
        <v>1000</v>
      </c>
      <c r="I32" s="13">
        <f t="shared" si="1"/>
        <v>3.4129692832764507</v>
      </c>
      <c r="J32" s="15">
        <v>27</v>
      </c>
      <c r="K32" s="12">
        <v>17</v>
      </c>
      <c r="L32" s="14">
        <v>225</v>
      </c>
      <c r="M32" s="5">
        <f t="shared" si="2"/>
        <v>8.3333333333333339</v>
      </c>
    </row>
    <row r="33" spans="1:13" ht="18.350000000000001">
      <c r="A33" s="6" t="s">
        <v>36</v>
      </c>
      <c r="B33" s="15">
        <v>96</v>
      </c>
      <c r="C33" s="8">
        <v>15</v>
      </c>
      <c r="D33" s="9">
        <v>286</v>
      </c>
      <c r="E33" s="10">
        <f t="shared" si="0"/>
        <v>2.9791666666666665</v>
      </c>
      <c r="F33" s="15">
        <v>57</v>
      </c>
      <c r="G33" s="11">
        <v>1</v>
      </c>
      <c r="H33" s="12">
        <v>164</v>
      </c>
      <c r="I33" s="13">
        <f t="shared" si="1"/>
        <v>2.8771929824561404</v>
      </c>
      <c r="J33" s="15">
        <v>2</v>
      </c>
      <c r="K33" s="12">
        <v>2</v>
      </c>
      <c r="L33" s="14">
        <v>37</v>
      </c>
      <c r="M33" s="5">
        <f t="shared" si="2"/>
        <v>18.5</v>
      </c>
    </row>
    <row r="34" spans="1:13" ht="18.350000000000001">
      <c r="A34" s="6" t="s">
        <v>37</v>
      </c>
      <c r="B34" s="15">
        <v>120</v>
      </c>
      <c r="C34" s="8">
        <v>1</v>
      </c>
      <c r="D34" s="9">
        <v>75</v>
      </c>
      <c r="E34" s="10">
        <f t="shared" si="0"/>
        <v>0.625</v>
      </c>
      <c r="F34" s="15">
        <v>123</v>
      </c>
      <c r="G34" s="11">
        <v>2</v>
      </c>
      <c r="H34" s="12">
        <v>100</v>
      </c>
      <c r="I34" s="13">
        <f t="shared" si="1"/>
        <v>0.81300813008130079</v>
      </c>
      <c r="J34" s="15">
        <v>2</v>
      </c>
      <c r="K34" s="12">
        <v>0</v>
      </c>
      <c r="L34" s="14">
        <v>33</v>
      </c>
      <c r="M34" s="5">
        <f t="shared" si="2"/>
        <v>16.5</v>
      </c>
    </row>
    <row r="35" spans="1:13" ht="19.05" thickBot="1">
      <c r="A35" s="6" t="s">
        <v>38</v>
      </c>
      <c r="B35" s="16">
        <v>179</v>
      </c>
      <c r="C35" s="8">
        <v>1</v>
      </c>
      <c r="D35" s="9">
        <v>192</v>
      </c>
      <c r="E35" s="10">
        <f t="shared" si="0"/>
        <v>1.0726256983240223</v>
      </c>
      <c r="F35" s="16">
        <v>179</v>
      </c>
      <c r="G35" s="11">
        <v>2</v>
      </c>
      <c r="H35" s="12">
        <v>214</v>
      </c>
      <c r="I35" s="13">
        <f t="shared" si="1"/>
        <v>1.1955307262569832</v>
      </c>
      <c r="J35" s="16">
        <v>20</v>
      </c>
      <c r="K35" s="12">
        <v>1</v>
      </c>
      <c r="L35" s="14">
        <v>39</v>
      </c>
      <c r="M35" s="5">
        <f t="shared" si="2"/>
        <v>1.95</v>
      </c>
    </row>
    <row r="36" spans="1:13" ht="14.95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Hien Pham</dc:creator>
  <cp:lastModifiedBy>Hien Pham</cp:lastModifiedBy>
  <dcterms:created xsi:type="dcterms:W3CDTF">2026-02-13T01:12:47Z</dcterms:created>
  <dcterms:modified xsi:type="dcterms:W3CDTF">2026-02-13T01:13:17Z</dcterms:modified>
</cp:coreProperties>
</file>